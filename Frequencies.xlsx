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sBeforeClean" sheetId="1" r:id="rId5"/>
    <sheet state="visible" name="CleanedCountsVerbs" sheetId="2" r:id="rId6"/>
    <sheet state="visible" name="RuleBasedvsNonRule" sheetId="3" r:id="rId7"/>
    <sheet state="visible" name="CorpusCounts" sheetId="4" r:id="rId8"/>
  </sheets>
  <definedNames/>
  <calcPr/>
</workbook>
</file>

<file path=xl/sharedStrings.xml><?xml version="1.0" encoding="utf-8"?>
<sst xmlns="http://schemas.openxmlformats.org/spreadsheetml/2006/main" count="175" uniqueCount="70">
  <si>
    <t>Word</t>
  </si>
  <si>
    <t>POS</t>
  </si>
  <si>
    <t>#BlackTwitter 2020</t>
  </si>
  <si>
    <t>#Black Twitter 2023</t>
  </si>
  <si>
    <t>#Black Twitter 2025</t>
  </si>
  <si>
    <t>#GenZ 2020</t>
  </si>
  <si>
    <t>#GenZ 2023</t>
  </si>
  <si>
    <t>#Genz 2025</t>
  </si>
  <si>
    <t>opp</t>
  </si>
  <si>
    <t>noun</t>
  </si>
  <si>
    <t>tea</t>
  </si>
  <si>
    <t>shyt</t>
  </si>
  <si>
    <t>shade</t>
  </si>
  <si>
    <t>bae</t>
  </si>
  <si>
    <t>simp</t>
  </si>
  <si>
    <t>ate</t>
  </si>
  <si>
    <t>verb</t>
  </si>
  <si>
    <t>wildin</t>
  </si>
  <si>
    <t>playin</t>
  </si>
  <si>
    <t>vibing</t>
  </si>
  <si>
    <t>tryna</t>
  </si>
  <si>
    <t>trynna</t>
  </si>
  <si>
    <t>flex</t>
  </si>
  <si>
    <t>verb/noun</t>
  </si>
  <si>
    <t>lowkey</t>
  </si>
  <si>
    <t>adjective</t>
  </si>
  <si>
    <t>pressed</t>
  </si>
  <si>
    <t>dope</t>
  </si>
  <si>
    <t>lit</t>
  </si>
  <si>
    <t>sus</t>
  </si>
  <si>
    <t>grown</t>
  </si>
  <si>
    <t>woke</t>
  </si>
  <si>
    <t>chile</t>
  </si>
  <si>
    <t>discourse marker</t>
  </si>
  <si>
    <t>periodt</t>
  </si>
  <si>
    <t>dis</t>
  </si>
  <si>
    <t>determiner</t>
  </si>
  <si>
    <t>boi</t>
  </si>
  <si>
    <t>noun, interjection/discourseMarker</t>
  </si>
  <si>
    <t>ain't</t>
  </si>
  <si>
    <t>AUX</t>
  </si>
  <si>
    <t>ion</t>
  </si>
  <si>
    <t>finna</t>
  </si>
  <si>
    <t>no cap</t>
  </si>
  <si>
    <t>noun phrase</t>
  </si>
  <si>
    <t>"outta pocket"</t>
  </si>
  <si>
    <t>"on fleek"</t>
  </si>
  <si>
    <t>tweaking</t>
  </si>
  <si>
    <t>chopped</t>
  </si>
  <si>
    <t>COUNTS</t>
  </si>
  <si>
    <t>NOUNS</t>
  </si>
  <si>
    <t>25vs20</t>
  </si>
  <si>
    <t>VERBS</t>
  </si>
  <si>
    <t>Counts</t>
  </si>
  <si>
    <t>OtherCategories</t>
  </si>
  <si>
    <t>Word(Non-AAVE spelling or grammar)</t>
  </si>
  <si>
    <t>Diff between points</t>
  </si>
  <si>
    <t>25 vs 20</t>
  </si>
  <si>
    <t>AAVE Phone/Gramm Words</t>
  </si>
  <si>
    <t>Corpus</t>
  </si>
  <si>
    <t>BT20</t>
  </si>
  <si>
    <t>BT23</t>
  </si>
  <si>
    <t>BT25</t>
  </si>
  <si>
    <t>GZ20</t>
  </si>
  <si>
    <t>GZ23</t>
  </si>
  <si>
    <t>GZ25</t>
  </si>
  <si>
    <t>OtherHashtagsNotUsed</t>
  </si>
  <si>
    <t>FourCombined</t>
  </si>
  <si>
    <t>Total</t>
  </si>
  <si>
    <t>Unique Tweets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</si>
</sst>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5.38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10.0</v>
      </c>
      <c r="D2" s="1">
        <v>14.0</v>
      </c>
      <c r="E2" s="1">
        <v>3.0</v>
      </c>
      <c r="F2" s="1">
        <v>6.0</v>
      </c>
      <c r="G2" s="1">
        <v>8.0</v>
      </c>
      <c r="H2" s="1">
        <v>22.0</v>
      </c>
    </row>
    <row r="3">
      <c r="A3" s="1" t="s">
        <v>10</v>
      </c>
      <c r="B3" s="1" t="s">
        <v>9</v>
      </c>
      <c r="C3" s="1">
        <v>86.0</v>
      </c>
      <c r="D3" s="1">
        <v>39.0</v>
      </c>
      <c r="E3" s="1">
        <v>63.0</v>
      </c>
      <c r="F3" s="1">
        <v>17.0</v>
      </c>
      <c r="G3" s="1">
        <v>19.0</v>
      </c>
      <c r="H3" s="1">
        <v>79.0</v>
      </c>
    </row>
    <row r="4">
      <c r="A4" s="1" t="s">
        <v>11</v>
      </c>
      <c r="B4" s="1" t="s">
        <v>9</v>
      </c>
      <c r="C4" s="1">
        <v>35.0</v>
      </c>
      <c r="D4" s="1">
        <v>29.0</v>
      </c>
      <c r="E4" s="1">
        <v>18.0</v>
      </c>
      <c r="F4" s="1">
        <v>0.0</v>
      </c>
      <c r="G4" s="1">
        <v>2.0</v>
      </c>
      <c r="H4" s="1">
        <v>6.0</v>
      </c>
    </row>
    <row r="5">
      <c r="A5" s="1" t="s">
        <v>12</v>
      </c>
      <c r="B5" s="1" t="s">
        <v>9</v>
      </c>
      <c r="C5" s="1">
        <v>50.0</v>
      </c>
      <c r="D5" s="1">
        <v>27.0</v>
      </c>
      <c r="E5" s="1">
        <v>25.0</v>
      </c>
      <c r="F5" s="1">
        <v>5.0</v>
      </c>
      <c r="G5" s="1">
        <v>6.0</v>
      </c>
      <c r="H5" s="1">
        <v>12.0</v>
      </c>
    </row>
    <row r="6">
      <c r="A6" s="1" t="s">
        <v>13</v>
      </c>
      <c r="B6" s="1" t="s">
        <v>9</v>
      </c>
      <c r="C6" s="1">
        <v>90.0</v>
      </c>
      <c r="D6" s="1">
        <v>23.0</v>
      </c>
      <c r="E6" s="1">
        <v>40.0</v>
      </c>
      <c r="F6" s="1">
        <v>2.0</v>
      </c>
      <c r="G6" s="1">
        <v>3.0</v>
      </c>
      <c r="H6" s="1">
        <v>2.0</v>
      </c>
    </row>
    <row r="7">
      <c r="A7" s="1" t="s">
        <v>14</v>
      </c>
      <c r="B7" s="1" t="s">
        <v>9</v>
      </c>
      <c r="C7" s="1">
        <v>30.0</v>
      </c>
      <c r="D7" s="1">
        <v>37.0</v>
      </c>
      <c r="E7" s="1">
        <v>5.0</v>
      </c>
      <c r="F7" s="1">
        <v>13.0</v>
      </c>
      <c r="G7" s="1">
        <v>5.0</v>
      </c>
      <c r="H7" s="1">
        <v>16.0</v>
      </c>
    </row>
    <row r="8">
      <c r="A8" s="1" t="s">
        <v>15</v>
      </c>
      <c r="B8" s="1" t="s">
        <v>16</v>
      </c>
      <c r="C8" s="1">
        <v>14.0</v>
      </c>
      <c r="D8" s="1">
        <v>10.0</v>
      </c>
      <c r="E8" s="1">
        <v>18.0</v>
      </c>
      <c r="F8" s="1">
        <v>9.0</v>
      </c>
      <c r="G8" s="1">
        <v>2.0</v>
      </c>
      <c r="H8" s="1">
        <v>43.0</v>
      </c>
    </row>
    <row r="9">
      <c r="A9" s="1" t="s">
        <v>17</v>
      </c>
      <c r="B9" s="1" t="s">
        <v>16</v>
      </c>
      <c r="C9" s="1">
        <v>21.0</v>
      </c>
      <c r="D9" s="1">
        <v>9.0</v>
      </c>
      <c r="E9" s="1">
        <v>2.0</v>
      </c>
      <c r="F9" s="1">
        <v>0.0</v>
      </c>
      <c r="G9" s="1">
        <v>0.0</v>
      </c>
      <c r="H9" s="1">
        <v>1.0</v>
      </c>
    </row>
    <row r="10">
      <c r="A10" s="1" t="s">
        <v>18</v>
      </c>
      <c r="B10" s="1" t="s">
        <v>16</v>
      </c>
      <c r="C10" s="1">
        <v>21.0</v>
      </c>
      <c r="D10" s="1">
        <v>14.0</v>
      </c>
      <c r="E10" s="1">
        <v>12.0</v>
      </c>
      <c r="F10" s="1">
        <v>1.0</v>
      </c>
      <c r="G10" s="1">
        <v>4.0</v>
      </c>
      <c r="H10" s="1">
        <v>1.0</v>
      </c>
    </row>
    <row r="11">
      <c r="A11" s="1" t="s">
        <v>19</v>
      </c>
      <c r="B11" s="1" t="s">
        <v>16</v>
      </c>
      <c r="C11" s="1">
        <v>8.0</v>
      </c>
      <c r="D11" s="1">
        <v>8.0</v>
      </c>
      <c r="E11" s="1">
        <v>8.0</v>
      </c>
      <c r="F11" s="1">
        <v>2.0</v>
      </c>
      <c r="G11" s="1">
        <v>10.0</v>
      </c>
      <c r="H11" s="1">
        <v>45.0</v>
      </c>
    </row>
    <row r="12">
      <c r="A12" s="1" t="s">
        <v>20</v>
      </c>
      <c r="B12" s="1" t="s">
        <v>16</v>
      </c>
      <c r="C12" s="1">
        <v>178.0</v>
      </c>
      <c r="D12" s="1">
        <v>131.0</v>
      </c>
      <c r="E12" s="1">
        <v>36.0</v>
      </c>
      <c r="F12" s="1">
        <v>10.0</v>
      </c>
      <c r="G12" s="1">
        <v>8.0</v>
      </c>
      <c r="H12" s="1">
        <v>22.0</v>
      </c>
    </row>
    <row r="13">
      <c r="A13" s="1" t="s">
        <v>21</v>
      </c>
      <c r="B13" s="1" t="s">
        <v>16</v>
      </c>
      <c r="C13" s="1">
        <v>62.0</v>
      </c>
      <c r="D13" s="1">
        <v>7.0</v>
      </c>
      <c r="E13" s="1">
        <v>2.0</v>
      </c>
      <c r="F13" s="1">
        <v>4.0</v>
      </c>
      <c r="G13" s="1">
        <v>1.0</v>
      </c>
      <c r="H13" s="1">
        <v>12.0</v>
      </c>
    </row>
    <row r="14">
      <c r="A14" s="1" t="s">
        <v>22</v>
      </c>
      <c r="B14" s="1" t="s">
        <v>23</v>
      </c>
      <c r="C14" s="1">
        <v>30.0</v>
      </c>
      <c r="D14" s="1">
        <v>40.0</v>
      </c>
      <c r="E14" s="1">
        <v>14.0</v>
      </c>
      <c r="F14" s="1">
        <v>16.0</v>
      </c>
      <c r="G14" s="1">
        <v>15.0</v>
      </c>
      <c r="H14" s="1">
        <v>63.0</v>
      </c>
    </row>
    <row r="15">
      <c r="A15" s="1" t="s">
        <v>24</v>
      </c>
      <c r="B15" s="1" t="s">
        <v>25</v>
      </c>
      <c r="C15" s="1">
        <v>32.0</v>
      </c>
      <c r="D15" s="1">
        <v>14.0</v>
      </c>
      <c r="E15" s="1">
        <v>12.0</v>
      </c>
      <c r="F15" s="1">
        <v>7.0</v>
      </c>
      <c r="G15" s="1">
        <v>0.0</v>
      </c>
      <c r="H15" s="1">
        <v>45.0</v>
      </c>
    </row>
    <row r="16">
      <c r="A16" s="1" t="s">
        <v>26</v>
      </c>
      <c r="B16" s="1" t="s">
        <v>25</v>
      </c>
      <c r="C16" s="1">
        <v>4.0</v>
      </c>
      <c r="D16" s="1">
        <v>10.0</v>
      </c>
      <c r="E16" s="1">
        <v>18.0</v>
      </c>
      <c r="F16" s="1">
        <v>2.0</v>
      </c>
      <c r="G16" s="1">
        <v>1.0</v>
      </c>
      <c r="H16" s="1">
        <v>1.0</v>
      </c>
    </row>
    <row r="17">
      <c r="A17" s="1" t="s">
        <v>27</v>
      </c>
      <c r="B17" s="1" t="s">
        <v>25</v>
      </c>
      <c r="C17" s="1">
        <v>234.0</v>
      </c>
      <c r="D17" s="1">
        <v>74.0</v>
      </c>
      <c r="E17" s="1">
        <v>24.0</v>
      </c>
      <c r="F17" s="1">
        <v>9.0</v>
      </c>
      <c r="G17" s="1">
        <v>5.0</v>
      </c>
      <c r="H17" s="1">
        <v>12.0</v>
      </c>
    </row>
    <row r="18">
      <c r="A18" s="1" t="s">
        <v>28</v>
      </c>
      <c r="B18" s="1" t="s">
        <v>25</v>
      </c>
      <c r="C18" s="1">
        <v>62.0</v>
      </c>
      <c r="D18" s="1">
        <v>9.0</v>
      </c>
      <c r="E18" s="1">
        <v>36.0</v>
      </c>
      <c r="F18" s="1">
        <v>16.0</v>
      </c>
      <c r="G18" s="1">
        <v>7.0</v>
      </c>
      <c r="H18" s="1">
        <v>10.0</v>
      </c>
    </row>
    <row r="19">
      <c r="A19" s="1" t="s">
        <v>29</v>
      </c>
      <c r="B19" s="1" t="s">
        <v>25</v>
      </c>
      <c r="C19" s="1">
        <v>5.0</v>
      </c>
      <c r="D19" s="1">
        <v>10.0</v>
      </c>
      <c r="E19" s="1">
        <v>8.0</v>
      </c>
      <c r="F19" s="1">
        <v>9.0</v>
      </c>
      <c r="G19" s="1">
        <v>13.0</v>
      </c>
      <c r="H19" s="1">
        <v>10.0</v>
      </c>
    </row>
    <row r="20">
      <c r="A20" s="1" t="s">
        <v>30</v>
      </c>
      <c r="B20" s="1" t="s">
        <v>25</v>
      </c>
      <c r="C20" s="1">
        <v>47.0</v>
      </c>
      <c r="D20" s="1">
        <v>111.0</v>
      </c>
      <c r="E20" s="1">
        <v>28.0</v>
      </c>
      <c r="F20" s="1">
        <v>10.0</v>
      </c>
      <c r="G20" s="1">
        <v>1.0</v>
      </c>
      <c r="H20" s="1">
        <v>8.0</v>
      </c>
    </row>
    <row r="21">
      <c r="A21" s="1" t="s">
        <v>31</v>
      </c>
      <c r="B21" s="1" t="s">
        <v>25</v>
      </c>
      <c r="C21" s="1">
        <v>69.0</v>
      </c>
      <c r="D21" s="1">
        <v>1125.0</v>
      </c>
      <c r="E21" s="1">
        <v>156.0</v>
      </c>
      <c r="F21" s="1">
        <v>103.0</v>
      </c>
      <c r="G21" s="1">
        <v>376.0</v>
      </c>
      <c r="H21" s="1">
        <v>153.0</v>
      </c>
    </row>
    <row r="22">
      <c r="A22" s="1" t="s">
        <v>32</v>
      </c>
      <c r="B22" s="1" t="s">
        <v>33</v>
      </c>
      <c r="C22" s="1">
        <v>183.0</v>
      </c>
      <c r="D22" s="1">
        <v>27.0</v>
      </c>
      <c r="E22" s="1">
        <v>8.0</v>
      </c>
      <c r="F22" s="1">
        <v>3.0</v>
      </c>
      <c r="G22" s="1">
        <v>2.0</v>
      </c>
      <c r="H22" s="1">
        <v>0.0</v>
      </c>
    </row>
    <row r="23">
      <c r="A23" s="1" t="s">
        <v>34</v>
      </c>
      <c r="B23" s="1" t="s">
        <v>33</v>
      </c>
      <c r="C23" s="1">
        <v>82.0</v>
      </c>
      <c r="D23" s="1">
        <v>10.0</v>
      </c>
      <c r="E23" s="1">
        <v>7.0</v>
      </c>
      <c r="F23" s="1">
        <v>6.0</v>
      </c>
      <c r="G23" s="1">
        <v>5.0</v>
      </c>
      <c r="H23" s="1">
        <v>2.0</v>
      </c>
    </row>
    <row r="24">
      <c r="A24" s="1" t="s">
        <v>35</v>
      </c>
      <c r="B24" s="1" t="s">
        <v>36</v>
      </c>
      <c r="C24" s="1">
        <v>74.0</v>
      </c>
      <c r="D24" s="1">
        <v>33.0</v>
      </c>
      <c r="E24" s="1">
        <v>22.0</v>
      </c>
      <c r="F24" s="1">
        <v>5.0</v>
      </c>
      <c r="G24" s="1">
        <v>19.0</v>
      </c>
      <c r="H24" s="1">
        <v>12.0</v>
      </c>
    </row>
    <row r="25">
      <c r="A25" s="1" t="s">
        <v>37</v>
      </c>
      <c r="B25" s="1" t="s">
        <v>38</v>
      </c>
      <c r="C25" s="1">
        <v>34.0</v>
      </c>
      <c r="D25" s="1">
        <v>14.0</v>
      </c>
      <c r="E25" s="1">
        <v>4.0</v>
      </c>
      <c r="F25" s="1">
        <v>4.0</v>
      </c>
      <c r="G25" s="1">
        <v>11.0</v>
      </c>
      <c r="H25" s="1">
        <v>10.0</v>
      </c>
    </row>
    <row r="26">
      <c r="A26" s="1" t="s">
        <v>39</v>
      </c>
      <c r="B26" s="1" t="s">
        <v>40</v>
      </c>
      <c r="C26" s="2">
        <v>1179.0</v>
      </c>
      <c r="D26" s="1">
        <v>79.0</v>
      </c>
      <c r="E26" s="1">
        <v>158.0</v>
      </c>
      <c r="F26" s="1">
        <v>9.0</v>
      </c>
      <c r="G26" s="1">
        <v>16.0</v>
      </c>
      <c r="H26" s="1">
        <v>11.0</v>
      </c>
    </row>
    <row r="27">
      <c r="A27" s="1" t="s">
        <v>41</v>
      </c>
      <c r="B27" s="1" t="s">
        <v>40</v>
      </c>
      <c r="C27" s="1">
        <v>48.0</v>
      </c>
      <c r="D27" s="1">
        <v>20.0</v>
      </c>
      <c r="E27" s="1">
        <v>7.0</v>
      </c>
      <c r="F27" s="1">
        <v>1.0</v>
      </c>
      <c r="G27" s="1">
        <v>1.0</v>
      </c>
      <c r="H27" s="1">
        <v>1.0</v>
      </c>
    </row>
    <row r="28">
      <c r="A28" s="1" t="s">
        <v>42</v>
      </c>
      <c r="B28" s="1" t="s">
        <v>40</v>
      </c>
      <c r="C28" s="1">
        <v>113.0</v>
      </c>
      <c r="D28" s="1">
        <v>39.0</v>
      </c>
      <c r="E28" s="1">
        <v>13.0</v>
      </c>
      <c r="F28" s="1">
        <v>8.0</v>
      </c>
      <c r="G28" s="1">
        <v>120.0</v>
      </c>
      <c r="H28" s="1">
        <v>1.0</v>
      </c>
    </row>
    <row r="29">
      <c r="A29" s="1" t="s">
        <v>43</v>
      </c>
      <c r="B29" s="1" t="s">
        <v>44</v>
      </c>
      <c r="C29" s="1">
        <v>2.0</v>
      </c>
      <c r="D29" s="1">
        <v>2.0</v>
      </c>
      <c r="E29" s="1">
        <v>2.0</v>
      </c>
      <c r="F29" s="1">
        <v>8.0</v>
      </c>
      <c r="G29" s="1">
        <v>26.0</v>
      </c>
      <c r="H29" s="1">
        <v>16.0</v>
      </c>
    </row>
    <row r="30">
      <c r="A30" s="1" t="s">
        <v>45</v>
      </c>
      <c r="B30" s="1" t="s">
        <v>25</v>
      </c>
      <c r="C30" s="1">
        <v>1.0</v>
      </c>
      <c r="D30" s="3"/>
      <c r="E30" s="3">
        <v>2.0</v>
      </c>
      <c r="F30" s="1">
        <v>0.0</v>
      </c>
      <c r="G30" s="1">
        <v>0.0</v>
      </c>
      <c r="H30" s="1">
        <v>0.0</v>
      </c>
    </row>
    <row r="31">
      <c r="A31" s="1" t="s">
        <v>46</v>
      </c>
      <c r="B31" s="1" t="s">
        <v>25</v>
      </c>
      <c r="C31" s="1">
        <v>4.0</v>
      </c>
      <c r="D31" s="1"/>
      <c r="E31" s="1">
        <v>0.0</v>
      </c>
      <c r="F31" s="1">
        <v>1.0</v>
      </c>
      <c r="G31" s="1">
        <v>0.0</v>
      </c>
      <c r="H31" s="1">
        <v>0.0</v>
      </c>
    </row>
    <row r="32">
      <c r="A32" s="1" t="s">
        <v>47</v>
      </c>
      <c r="B32" s="1" t="s">
        <v>16</v>
      </c>
      <c r="C32" s="1">
        <v>1.0</v>
      </c>
      <c r="D32" s="1">
        <v>4.0</v>
      </c>
      <c r="E32" s="1">
        <v>2.0</v>
      </c>
      <c r="F32" s="1">
        <v>0.0</v>
      </c>
      <c r="G32" s="1">
        <v>1.0</v>
      </c>
      <c r="H32" s="1">
        <v>0.0</v>
      </c>
    </row>
    <row r="33">
      <c r="A33" s="1" t="s">
        <v>48</v>
      </c>
      <c r="B33" s="1" t="s">
        <v>25</v>
      </c>
      <c r="C33" s="1">
        <v>2.0</v>
      </c>
      <c r="D33" s="1">
        <v>2.0</v>
      </c>
      <c r="E33" s="1">
        <v>2.0</v>
      </c>
      <c r="F33" s="1">
        <v>0.0</v>
      </c>
      <c r="G33" s="1">
        <v>0.0</v>
      </c>
      <c r="H3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5.38"/>
    <col customWidth="1" min="5" max="5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10</v>
      </c>
      <c r="B2" s="1" t="s">
        <v>9</v>
      </c>
      <c r="C2" s="1">
        <v>86.0</v>
      </c>
      <c r="D2" s="1">
        <v>39.0</v>
      </c>
      <c r="E2" s="1">
        <v>63.0</v>
      </c>
      <c r="F2" s="1">
        <v>17.0</v>
      </c>
      <c r="G2" s="1">
        <v>19.0</v>
      </c>
      <c r="H2" s="1">
        <v>79.0</v>
      </c>
    </row>
    <row r="3">
      <c r="A3" s="1" t="s">
        <v>12</v>
      </c>
      <c r="B3" s="1" t="s">
        <v>9</v>
      </c>
      <c r="C3" s="1">
        <v>50.0</v>
      </c>
      <c r="D3" s="1">
        <v>27.0</v>
      </c>
      <c r="E3" s="1">
        <v>25.0</v>
      </c>
      <c r="F3" s="1">
        <v>5.0</v>
      </c>
      <c r="G3" s="1">
        <v>6.0</v>
      </c>
      <c r="H3" s="1">
        <v>12.0</v>
      </c>
    </row>
    <row r="4">
      <c r="A4" s="1" t="s">
        <v>13</v>
      </c>
      <c r="B4" s="1" t="s">
        <v>9</v>
      </c>
      <c r="C4" s="1">
        <v>90.0</v>
      </c>
      <c r="D4" s="1">
        <v>23.0</v>
      </c>
      <c r="E4" s="1">
        <v>40.0</v>
      </c>
      <c r="F4" s="1">
        <v>2.0</v>
      </c>
      <c r="G4" s="1">
        <v>3.0</v>
      </c>
      <c r="H4" s="1">
        <v>2.0</v>
      </c>
    </row>
    <row r="5">
      <c r="A5" s="1" t="s">
        <v>14</v>
      </c>
      <c r="B5" s="1" t="s">
        <v>9</v>
      </c>
      <c r="C5" s="1">
        <v>30.0</v>
      </c>
      <c r="D5" s="1">
        <v>37.0</v>
      </c>
      <c r="E5" s="1">
        <v>5.0</v>
      </c>
      <c r="F5" s="1">
        <v>13.0</v>
      </c>
      <c r="G5" s="1">
        <v>5.0</v>
      </c>
      <c r="H5" s="1">
        <v>16.0</v>
      </c>
    </row>
    <row r="6">
      <c r="A6" s="3" t="s">
        <v>49</v>
      </c>
      <c r="B6" s="3" t="s">
        <v>50</v>
      </c>
      <c r="C6" s="3">
        <f t="shared" ref="C6:H6" si="1">SUM(C2:C5)</f>
        <v>256</v>
      </c>
      <c r="D6" s="3">
        <f t="shared" si="1"/>
        <v>126</v>
      </c>
      <c r="E6" s="3">
        <f t="shared" si="1"/>
        <v>133</v>
      </c>
      <c r="F6" s="3">
        <f t="shared" si="1"/>
        <v>37</v>
      </c>
      <c r="G6" s="3">
        <f t="shared" si="1"/>
        <v>33</v>
      </c>
      <c r="H6" s="3">
        <f t="shared" si="1"/>
        <v>109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1" t="s">
        <v>51</v>
      </c>
      <c r="B7" s="1"/>
      <c r="C7" s="1"/>
      <c r="D7" s="1"/>
      <c r="E7" s="1">
        <f>DIVIDE(E6,C6)</f>
        <v>0.51953125</v>
      </c>
      <c r="F7" s="1"/>
      <c r="G7" s="1"/>
      <c r="H7" s="1">
        <f>DIVIDE(H6,F6)</f>
        <v>2.945945946</v>
      </c>
    </row>
    <row r="8">
      <c r="A8" s="1"/>
      <c r="B8" s="1"/>
      <c r="C8" s="1"/>
      <c r="D8" s="1"/>
      <c r="E8" s="1"/>
      <c r="F8" s="1"/>
      <c r="G8" s="1"/>
      <c r="H8" s="1"/>
    </row>
    <row r="9">
      <c r="A9" s="1" t="s">
        <v>18</v>
      </c>
      <c r="B9" s="1" t="s">
        <v>16</v>
      </c>
      <c r="C9" s="1">
        <v>21.0</v>
      </c>
      <c r="D9" s="1">
        <v>14.0</v>
      </c>
      <c r="E9" s="1">
        <v>12.0</v>
      </c>
      <c r="F9" s="1">
        <v>1.0</v>
      </c>
      <c r="G9" s="1">
        <v>4.0</v>
      </c>
      <c r="H9" s="1">
        <v>1.0</v>
      </c>
    </row>
    <row r="10">
      <c r="A10" s="1" t="s">
        <v>20</v>
      </c>
      <c r="B10" s="1" t="s">
        <v>16</v>
      </c>
      <c r="C10" s="1">
        <v>178.0</v>
      </c>
      <c r="D10" s="1">
        <v>131.0</v>
      </c>
      <c r="E10" s="1">
        <v>36.0</v>
      </c>
      <c r="F10" s="1">
        <v>10.0</v>
      </c>
      <c r="G10" s="1">
        <v>8.0</v>
      </c>
      <c r="H10" s="1">
        <v>22.0</v>
      </c>
    </row>
    <row r="11">
      <c r="A11" s="1" t="s">
        <v>21</v>
      </c>
      <c r="B11" s="1" t="s">
        <v>16</v>
      </c>
      <c r="C11" s="1">
        <v>62.0</v>
      </c>
      <c r="D11" s="1">
        <v>7.0</v>
      </c>
      <c r="E11" s="1">
        <v>2.0</v>
      </c>
      <c r="F11" s="1">
        <v>4.0</v>
      </c>
      <c r="G11" s="1">
        <v>1.0</v>
      </c>
      <c r="H11" s="1">
        <v>12.0</v>
      </c>
    </row>
    <row r="12">
      <c r="A12" s="3" t="s">
        <v>49</v>
      </c>
      <c r="B12" s="3" t="s">
        <v>52</v>
      </c>
      <c r="C12" s="3">
        <f t="shared" ref="C12:H12" si="2">SUM(C9:C11)</f>
        <v>261</v>
      </c>
      <c r="D12" s="3">
        <f t="shared" si="2"/>
        <v>152</v>
      </c>
      <c r="E12" s="3">
        <f t="shared" si="2"/>
        <v>50</v>
      </c>
      <c r="F12" s="3">
        <f t="shared" si="2"/>
        <v>15</v>
      </c>
      <c r="G12" s="3">
        <f t="shared" si="2"/>
        <v>13</v>
      </c>
      <c r="H12" s="3">
        <f t="shared" si="2"/>
        <v>35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1" t="s">
        <v>51</v>
      </c>
      <c r="B13" s="1"/>
      <c r="C13" s="1"/>
      <c r="D13" s="1"/>
      <c r="E13" s="1">
        <f>DIVIDE(E12,C12)</f>
        <v>0.1915708812</v>
      </c>
      <c r="F13" s="1"/>
      <c r="G13" s="1"/>
      <c r="H13" s="1">
        <f>DIVIDE(H12,F12)</f>
        <v>2.333333333</v>
      </c>
    </row>
    <row r="14">
      <c r="A14" s="1"/>
      <c r="B14" s="1"/>
      <c r="C14" s="1"/>
      <c r="D14" s="1"/>
      <c r="E14" s="1"/>
      <c r="F14" s="1"/>
      <c r="G14" s="1"/>
      <c r="H14" s="1"/>
    </row>
    <row r="15">
      <c r="A15" s="1" t="s">
        <v>27</v>
      </c>
      <c r="B15" s="1" t="s">
        <v>25</v>
      </c>
      <c r="C15" s="1">
        <v>234.0</v>
      </c>
      <c r="D15" s="1">
        <v>74.0</v>
      </c>
      <c r="E15" s="1">
        <v>24.0</v>
      </c>
      <c r="F15" s="1">
        <v>9.0</v>
      </c>
      <c r="G15" s="1">
        <v>5.0</v>
      </c>
      <c r="H15" s="1">
        <v>12.0</v>
      </c>
    </row>
    <row r="16">
      <c r="A16" s="1" t="s">
        <v>28</v>
      </c>
      <c r="B16" s="1" t="s">
        <v>25</v>
      </c>
      <c r="C16" s="1">
        <v>62.0</v>
      </c>
      <c r="D16" s="1">
        <v>9.0</v>
      </c>
      <c r="E16" s="1">
        <v>36.0</v>
      </c>
      <c r="F16" s="1">
        <v>16.0</v>
      </c>
      <c r="G16" s="1">
        <v>7.0</v>
      </c>
      <c r="H16" s="1">
        <v>10.0</v>
      </c>
    </row>
    <row r="17">
      <c r="A17" s="1" t="s">
        <v>30</v>
      </c>
      <c r="B17" s="1" t="s">
        <v>25</v>
      </c>
      <c r="C17" s="1">
        <v>47.0</v>
      </c>
      <c r="D17" s="1">
        <v>111.0</v>
      </c>
      <c r="E17" s="1">
        <v>28.0</v>
      </c>
      <c r="F17" s="1">
        <v>10.0</v>
      </c>
      <c r="G17" s="1">
        <v>1.0</v>
      </c>
      <c r="H17" s="1">
        <v>8.0</v>
      </c>
    </row>
    <row r="18">
      <c r="A18" s="3" t="s">
        <v>53</v>
      </c>
      <c r="B18" s="3"/>
      <c r="C18" s="3">
        <f t="shared" ref="C18:H18" si="3">SUM(C15:C17)</f>
        <v>343</v>
      </c>
      <c r="D18" s="3">
        <f t="shared" si="3"/>
        <v>194</v>
      </c>
      <c r="E18" s="3">
        <f t="shared" si="3"/>
        <v>88</v>
      </c>
      <c r="F18" s="3">
        <f t="shared" si="3"/>
        <v>35</v>
      </c>
      <c r="G18" s="3">
        <f t="shared" si="3"/>
        <v>13</v>
      </c>
      <c r="H18" s="3">
        <f t="shared" si="3"/>
        <v>30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1"/>
      <c r="B19" s="1"/>
      <c r="C19" s="1"/>
      <c r="D19" s="1"/>
      <c r="E19" s="1">
        <f>DIVIDE(E17,C17)</f>
        <v>0.5957446809</v>
      </c>
      <c r="F19" s="1"/>
      <c r="G19" s="1"/>
      <c r="H19" s="1">
        <f>DIVIDE(H17,F17)</f>
        <v>0.8</v>
      </c>
    </row>
    <row r="20">
      <c r="A20" s="1"/>
      <c r="B20" s="1"/>
      <c r="C20" s="1"/>
      <c r="D20" s="1"/>
      <c r="E20" s="1"/>
      <c r="F20" s="1"/>
      <c r="G20" s="1"/>
    </row>
    <row r="21">
      <c r="A21" s="1" t="s">
        <v>54</v>
      </c>
      <c r="B21" s="1"/>
      <c r="C21" s="1"/>
      <c r="D21" s="1"/>
      <c r="E21" s="1"/>
      <c r="F21" s="1"/>
      <c r="G21" s="1"/>
      <c r="H21" s="1"/>
    </row>
    <row r="22">
      <c r="A22" s="5" t="s">
        <v>37</v>
      </c>
      <c r="B22" s="5" t="s">
        <v>38</v>
      </c>
      <c r="C22" s="5">
        <v>34.0</v>
      </c>
      <c r="D22" s="5">
        <v>14.0</v>
      </c>
      <c r="E22" s="5">
        <v>4.0</v>
      </c>
      <c r="F22" s="5">
        <v>4.0</v>
      </c>
      <c r="G22" s="5">
        <v>11.0</v>
      </c>
      <c r="H22" s="5">
        <v>10.0</v>
      </c>
      <c r="I22" s="6"/>
    </row>
    <row r="23">
      <c r="A23" s="5" t="s">
        <v>49</v>
      </c>
      <c r="B23" s="5"/>
      <c r="C23" s="5"/>
      <c r="D23" s="5"/>
      <c r="E23" s="5"/>
      <c r="F23" s="5"/>
      <c r="G23" s="5"/>
      <c r="H23" s="5"/>
      <c r="I23" s="6"/>
    </row>
    <row r="24">
      <c r="A24" s="5" t="s">
        <v>34</v>
      </c>
      <c r="B24" s="5" t="s">
        <v>33</v>
      </c>
      <c r="C24" s="5">
        <v>82.0</v>
      </c>
      <c r="D24" s="5">
        <v>10.0</v>
      </c>
      <c r="E24" s="5">
        <v>7.0</v>
      </c>
      <c r="F24" s="5">
        <v>6.0</v>
      </c>
      <c r="G24" s="5">
        <v>5.0</v>
      </c>
      <c r="H24" s="5">
        <v>2.0</v>
      </c>
      <c r="I24" s="6"/>
    </row>
    <row r="25">
      <c r="A25" s="5" t="s">
        <v>35</v>
      </c>
      <c r="B25" s="5" t="s">
        <v>36</v>
      </c>
      <c r="C25" s="5">
        <v>74.0</v>
      </c>
      <c r="D25" s="5">
        <v>33.0</v>
      </c>
      <c r="E25" s="5">
        <v>22.0</v>
      </c>
      <c r="F25" s="5">
        <v>5.0</v>
      </c>
      <c r="G25" s="5">
        <v>19.0</v>
      </c>
      <c r="H25" s="5">
        <v>12.0</v>
      </c>
      <c r="I25" s="6"/>
    </row>
    <row r="26">
      <c r="A26" s="5" t="s">
        <v>41</v>
      </c>
      <c r="B26" s="5" t="s">
        <v>40</v>
      </c>
      <c r="C26" s="5">
        <v>48.0</v>
      </c>
      <c r="D26" s="5">
        <v>20.0</v>
      </c>
      <c r="E26" s="5">
        <v>7.0</v>
      </c>
      <c r="F26" s="5">
        <v>1.0</v>
      </c>
      <c r="G26" s="5">
        <v>1.0</v>
      </c>
      <c r="H26" s="5">
        <v>1.0</v>
      </c>
      <c r="I26" s="6"/>
    </row>
    <row r="34">
      <c r="A3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5.38"/>
    <col customWidth="1" min="5" max="5" width="15.13"/>
  </cols>
  <sheetData>
    <row r="1">
      <c r="A1" s="1" t="s">
        <v>55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10</v>
      </c>
      <c r="B2" s="1" t="s">
        <v>9</v>
      </c>
      <c r="C2" s="1">
        <v>86.0</v>
      </c>
      <c r="D2" s="1">
        <v>39.0</v>
      </c>
      <c r="E2" s="1">
        <v>63.0</v>
      </c>
      <c r="F2" s="1">
        <v>17.0</v>
      </c>
      <c r="G2" s="1">
        <v>19.0</v>
      </c>
      <c r="H2" s="1">
        <v>79.0</v>
      </c>
    </row>
    <row r="3">
      <c r="A3" s="1" t="s">
        <v>12</v>
      </c>
      <c r="B3" s="1" t="s">
        <v>9</v>
      </c>
      <c r="C3" s="1">
        <v>50.0</v>
      </c>
      <c r="D3" s="1">
        <v>27.0</v>
      </c>
      <c r="E3" s="1">
        <v>25.0</v>
      </c>
      <c r="F3" s="1">
        <v>5.0</v>
      </c>
      <c r="G3" s="1">
        <v>6.0</v>
      </c>
      <c r="H3" s="1">
        <v>12.0</v>
      </c>
    </row>
    <row r="4">
      <c r="A4" s="1" t="s">
        <v>13</v>
      </c>
      <c r="B4" s="1" t="s">
        <v>9</v>
      </c>
      <c r="C4" s="1">
        <v>90.0</v>
      </c>
      <c r="D4" s="1">
        <v>23.0</v>
      </c>
      <c r="E4" s="1">
        <v>40.0</v>
      </c>
      <c r="F4" s="1">
        <v>2.0</v>
      </c>
      <c r="G4" s="1">
        <v>3.0</v>
      </c>
      <c r="H4" s="1">
        <v>2.0</v>
      </c>
    </row>
    <row r="5">
      <c r="A5" s="1" t="s">
        <v>14</v>
      </c>
      <c r="B5" s="1" t="s">
        <v>9</v>
      </c>
      <c r="C5" s="1">
        <v>30.0</v>
      </c>
      <c r="D5" s="1">
        <v>37.0</v>
      </c>
      <c r="E5" s="1">
        <v>5.0</v>
      </c>
      <c r="F5" s="1">
        <v>13.0</v>
      </c>
      <c r="G5" s="1">
        <v>5.0</v>
      </c>
      <c r="H5" s="1">
        <v>16.0</v>
      </c>
    </row>
    <row r="6">
      <c r="A6" s="1" t="s">
        <v>27</v>
      </c>
      <c r="B6" s="1" t="s">
        <v>25</v>
      </c>
      <c r="C6" s="1">
        <v>234.0</v>
      </c>
      <c r="D6" s="1">
        <v>74.0</v>
      </c>
      <c r="E6" s="1">
        <v>24.0</v>
      </c>
      <c r="F6" s="1">
        <v>9.0</v>
      </c>
      <c r="G6" s="1">
        <v>5.0</v>
      </c>
      <c r="H6" s="1">
        <v>12.0</v>
      </c>
    </row>
    <row r="7">
      <c r="A7" s="1" t="s">
        <v>28</v>
      </c>
      <c r="B7" s="1" t="s">
        <v>25</v>
      </c>
      <c r="C7" s="1">
        <v>62.0</v>
      </c>
      <c r="D7" s="1">
        <v>9.0</v>
      </c>
      <c r="E7" s="1">
        <v>36.0</v>
      </c>
      <c r="F7" s="1">
        <v>16.0</v>
      </c>
      <c r="G7" s="1">
        <v>7.0</v>
      </c>
      <c r="H7" s="1">
        <v>10.0</v>
      </c>
    </row>
    <row r="8">
      <c r="A8" s="1" t="s">
        <v>22</v>
      </c>
      <c r="B8" s="1" t="s">
        <v>23</v>
      </c>
      <c r="C8" s="1">
        <v>30.0</v>
      </c>
      <c r="D8" s="1">
        <v>40.0</v>
      </c>
      <c r="E8" s="1">
        <v>14.0</v>
      </c>
      <c r="F8" s="1">
        <v>16.0</v>
      </c>
      <c r="G8" s="1">
        <v>15.0</v>
      </c>
      <c r="H8" s="1">
        <v>63.0</v>
      </c>
    </row>
    <row r="9">
      <c r="A9" s="1" t="s">
        <v>30</v>
      </c>
      <c r="B9" s="1" t="s">
        <v>25</v>
      </c>
      <c r="C9" s="1">
        <v>47.0</v>
      </c>
      <c r="D9" s="1">
        <v>111.0</v>
      </c>
      <c r="E9" s="1">
        <v>28.0</v>
      </c>
      <c r="F9" s="1">
        <v>10.0</v>
      </c>
      <c r="G9" s="1">
        <v>1.0</v>
      </c>
      <c r="H9" s="1">
        <v>8.0</v>
      </c>
    </row>
    <row r="10">
      <c r="A10" s="3" t="s">
        <v>49</v>
      </c>
      <c r="B10" s="4"/>
      <c r="C10" s="3">
        <f t="shared" ref="C10:H10" si="1">SUM(C2:C9)</f>
        <v>629</v>
      </c>
      <c r="D10" s="4">
        <f t="shared" si="1"/>
        <v>360</v>
      </c>
      <c r="E10" s="4">
        <f t="shared" si="1"/>
        <v>235</v>
      </c>
      <c r="F10" s="4">
        <f t="shared" si="1"/>
        <v>88</v>
      </c>
      <c r="G10" s="4">
        <f t="shared" si="1"/>
        <v>61</v>
      </c>
      <c r="H10" s="4">
        <f t="shared" si="1"/>
        <v>202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1" t="s">
        <v>56</v>
      </c>
      <c r="D11" s="7">
        <f t="shared" ref="D11:E11" si="2">DIVIDE(D10,C10)</f>
        <v>0.5723370429</v>
      </c>
      <c r="E11" s="7">
        <f t="shared" si="2"/>
        <v>0.6527777778</v>
      </c>
      <c r="G11" s="7">
        <f t="shared" ref="G11:H11" si="3">DIVIDE(G10,F10)</f>
        <v>0.6931818182</v>
      </c>
      <c r="H11" s="7">
        <f t="shared" si="3"/>
        <v>3.31147541</v>
      </c>
    </row>
    <row r="12">
      <c r="A12" s="1" t="s">
        <v>57</v>
      </c>
      <c r="E12" s="7">
        <f>DIVIDE(E10,C10)</f>
        <v>0.373608903</v>
      </c>
      <c r="H12" s="7">
        <f>DIVIDE(H10,F10)</f>
        <v>2.295454545</v>
      </c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 t="s">
        <v>58</v>
      </c>
      <c r="B14" s="1"/>
      <c r="C14" s="1"/>
      <c r="D14" s="1"/>
      <c r="E14" s="1"/>
      <c r="F14" s="1"/>
      <c r="G14" s="1"/>
      <c r="H14" s="1"/>
    </row>
    <row r="15">
      <c r="A15" s="1" t="s">
        <v>21</v>
      </c>
      <c r="B15" s="1" t="s">
        <v>16</v>
      </c>
      <c r="C15" s="1">
        <v>62.0</v>
      </c>
      <c r="D15" s="1">
        <v>7.0</v>
      </c>
      <c r="E15" s="1">
        <v>2.0</v>
      </c>
      <c r="F15" s="1">
        <v>4.0</v>
      </c>
      <c r="G15" s="1">
        <v>1.0</v>
      </c>
      <c r="H15" s="1">
        <v>12.0</v>
      </c>
    </row>
    <row r="16">
      <c r="A16" s="1" t="s">
        <v>20</v>
      </c>
      <c r="B16" s="1" t="s">
        <v>16</v>
      </c>
      <c r="C16" s="1">
        <v>178.0</v>
      </c>
      <c r="D16" s="1">
        <v>131.0</v>
      </c>
      <c r="E16" s="1">
        <v>36.0</v>
      </c>
      <c r="F16" s="1">
        <v>10.0</v>
      </c>
      <c r="G16" s="1">
        <v>8.0</v>
      </c>
      <c r="H16" s="1">
        <v>22.0</v>
      </c>
    </row>
    <row r="17">
      <c r="A17" s="1" t="s">
        <v>34</v>
      </c>
      <c r="B17" s="1" t="s">
        <v>33</v>
      </c>
      <c r="C17" s="1">
        <v>82.0</v>
      </c>
      <c r="D17" s="1">
        <v>10.0</v>
      </c>
      <c r="E17" s="1">
        <v>7.0</v>
      </c>
      <c r="F17" s="1">
        <v>6.0</v>
      </c>
      <c r="G17" s="1">
        <v>5.0</v>
      </c>
      <c r="H17" s="1">
        <v>2.0</v>
      </c>
    </row>
    <row r="18">
      <c r="A18" s="1" t="s">
        <v>35</v>
      </c>
      <c r="B18" s="1" t="s">
        <v>36</v>
      </c>
      <c r="C18" s="1">
        <v>74.0</v>
      </c>
      <c r="D18" s="1">
        <v>33.0</v>
      </c>
      <c r="E18" s="1">
        <v>22.0</v>
      </c>
      <c r="F18" s="1">
        <v>5.0</v>
      </c>
      <c r="G18" s="1">
        <v>19.0</v>
      </c>
      <c r="H18" s="1">
        <v>12.0</v>
      </c>
    </row>
    <row r="19">
      <c r="A19" s="1" t="s">
        <v>37</v>
      </c>
      <c r="B19" s="1" t="s">
        <v>38</v>
      </c>
      <c r="C19" s="1">
        <v>34.0</v>
      </c>
      <c r="D19" s="1">
        <v>14.0</v>
      </c>
      <c r="E19" s="1">
        <v>4.0</v>
      </c>
      <c r="F19" s="1">
        <v>4.0</v>
      </c>
      <c r="G19" s="1">
        <v>11.0</v>
      </c>
      <c r="H19" s="1">
        <v>10.0</v>
      </c>
    </row>
    <row r="20">
      <c r="A20" s="1" t="s">
        <v>39</v>
      </c>
      <c r="B20" s="1" t="s">
        <v>40</v>
      </c>
      <c r="C20" s="2">
        <v>1179.0</v>
      </c>
      <c r="D20" s="1">
        <v>79.0</v>
      </c>
      <c r="E20" s="1">
        <v>158.0</v>
      </c>
      <c r="F20" s="1">
        <v>9.0</v>
      </c>
      <c r="G20" s="1">
        <v>16.0</v>
      </c>
      <c r="H20" s="1">
        <v>11.0</v>
      </c>
    </row>
    <row r="21">
      <c r="A21" s="1" t="s">
        <v>41</v>
      </c>
      <c r="B21" s="1" t="s">
        <v>40</v>
      </c>
      <c r="C21" s="1">
        <v>48.0</v>
      </c>
      <c r="D21" s="1">
        <v>20.0</v>
      </c>
      <c r="E21" s="1">
        <v>7.0</v>
      </c>
      <c r="F21" s="1">
        <v>1.0</v>
      </c>
      <c r="G21" s="1">
        <v>1.0</v>
      </c>
      <c r="H21" s="1">
        <v>1.0</v>
      </c>
    </row>
    <row r="22">
      <c r="A22" s="1" t="s">
        <v>18</v>
      </c>
      <c r="B22" s="1" t="s">
        <v>16</v>
      </c>
      <c r="C22" s="1">
        <v>21.0</v>
      </c>
      <c r="D22" s="1">
        <v>14.0</v>
      </c>
      <c r="E22" s="1">
        <v>12.0</v>
      </c>
      <c r="F22" s="1">
        <v>1.0</v>
      </c>
      <c r="G22" s="1">
        <v>4.0</v>
      </c>
      <c r="H22" s="1">
        <v>1.0</v>
      </c>
    </row>
    <row r="23">
      <c r="A23" s="3" t="s">
        <v>49</v>
      </c>
      <c r="B23" s="4"/>
      <c r="C23" s="4">
        <f t="shared" ref="C23:H23" si="4">SUM(C15:C22)</f>
        <v>1678</v>
      </c>
      <c r="D23" s="4">
        <f t="shared" si="4"/>
        <v>308</v>
      </c>
      <c r="E23" s="4">
        <f t="shared" si="4"/>
        <v>248</v>
      </c>
      <c r="F23" s="4">
        <f t="shared" si="4"/>
        <v>40</v>
      </c>
      <c r="G23" s="4">
        <f t="shared" si="4"/>
        <v>65</v>
      </c>
      <c r="H23" s="4">
        <f t="shared" si="4"/>
        <v>71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1" t="s">
        <v>56</v>
      </c>
      <c r="D24" s="7">
        <f t="shared" ref="D24:E24" si="5">DIVIDE(D23,C23)</f>
        <v>0.1835518474</v>
      </c>
      <c r="E24" s="7">
        <f t="shared" si="5"/>
        <v>0.8051948052</v>
      </c>
      <c r="G24" s="7">
        <f t="shared" ref="G24:H24" si="6">DIVIDE(G23,F23)</f>
        <v>1.625</v>
      </c>
      <c r="H24" s="7">
        <f t="shared" si="6"/>
        <v>1.092307692</v>
      </c>
    </row>
    <row r="25">
      <c r="A25" s="1" t="s">
        <v>57</v>
      </c>
      <c r="E25" s="7">
        <f>DIVIDE(E23,C23)</f>
        <v>0.147794994</v>
      </c>
      <c r="H25" s="7">
        <f>DIVIDE(H23,F23)</f>
        <v>1.775</v>
      </c>
    </row>
    <row r="28">
      <c r="A28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>
      <c r="A2" s="1" t="s">
        <v>69</v>
      </c>
      <c r="B2" s="1">
        <v>6529.0</v>
      </c>
      <c r="C2" s="1">
        <v>3494.0</v>
      </c>
      <c r="D2" s="1">
        <v>1216.0</v>
      </c>
      <c r="E2" s="1">
        <v>617.0</v>
      </c>
      <c r="F2" s="1">
        <v>843.0</v>
      </c>
      <c r="G2" s="1">
        <v>1323.0</v>
      </c>
      <c r="H2" s="1">
        <v>1989.0</v>
      </c>
      <c r="I2" s="7">
        <f>SUM(B2:H2)</f>
        <v>16011</v>
      </c>
      <c r="J2" s="7">
        <f>SUM(B2:I2)</f>
        <v>32022</v>
      </c>
    </row>
  </sheetData>
  <drawing r:id="rId1"/>
</worksheet>
</file>